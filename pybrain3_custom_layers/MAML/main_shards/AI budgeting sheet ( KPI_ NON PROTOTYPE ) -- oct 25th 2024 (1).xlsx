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-- template 1" sheetId="1" r:id="rId4"/>
    <sheet state="visible" name="Notes 20242912" sheetId="2" r:id="rId5"/>
    <sheet state="visible" name="complexity based pricing" sheetId="3" r:id="rId6"/>
    <sheet state="visible" name="links as notes" sheetId="4" r:id="rId7"/>
    <sheet state="visible" name="2024" sheetId="5" r:id="rId8"/>
    <sheet state="visible" name="2025" sheetId="6" r:id="rId9"/>
  </sheets>
  <definedNames/>
  <calcPr/>
</workbook>
</file>

<file path=xl/sharedStrings.xml><?xml version="1.0" encoding="utf-8"?>
<sst xmlns="http://schemas.openxmlformats.org/spreadsheetml/2006/main" count="131" uniqueCount="94">
  <si>
    <t>Combination</t>
  </si>
  <si>
    <t>Total Cost</t>
  </si>
  <si>
    <t>Total Cost per subscription pack combo: (270 customers)</t>
  </si>
  <si>
    <t>features:</t>
  </si>
  <si>
    <t>rows a-l are months</t>
  </si>
  <si>
    <t>expected Customers:</t>
  </si>
  <si>
    <t>6 × C1</t>
  </si>
  <si>
    <t>✔️</t>
  </si>
  <si>
    <t>colomns are each month by year</t>
  </si>
  <si>
    <t>1 × C1 + 1 × C2</t>
  </si>
  <si>
    <t>basically (colomn, row) box notation for the APL users</t>
  </si>
  <si>
    <t>2 × C1 + 1 × C2</t>
  </si>
  <si>
    <t>3 × C1 + 1 × C2</t>
  </si>
  <si>
    <t>4 × C1 + 1 × C2</t>
  </si>
  <si>
    <t>5 × C1 + 1 × C2</t>
  </si>
  <si>
    <t>1 × C1 + 1 × C3</t>
  </si>
  <si>
    <t>2 × C1 + 1 × C3</t>
  </si>
  <si>
    <t>2 × C1 + 2 × C2</t>
  </si>
  <si>
    <t>3 × C1 + 1 × C3</t>
  </si>
  <si>
    <t>4 × C1 + 1 × C3</t>
  </si>
  <si>
    <t>5 × C1 + 1 × C3</t>
  </si>
  <si>
    <t>3 × C1 + 1 × C4</t>
  </si>
  <si>
    <t>4 × C1 + 1 × C4</t>
  </si>
  <si>
    <t>tax:</t>
  </si>
  <si>
    <t>5 × C1 + 1 × C4</t>
  </si>
  <si>
    <t>1 × C1 + 2 × C3</t>
  </si>
  <si>
    <t>tax applicable?</t>
  </si>
  <si>
    <t>4 × C2</t>
  </si>
  <si>
    <t>0, factored into price</t>
  </si>
  <si>
    <t>3 × C1 + 1 × C5</t>
  </si>
  <si>
    <t>5 × C1 + 1 × C5</t>
  </si>
  <si>
    <t>5 × C1 + 1 × C6</t>
  </si>
  <si>
    <t>1 ×C3 + 1×C5 + 1×C1</t>
  </si>
  <si>
    <t>2 ×C1 + 1×C7</t>
  </si>
  <si>
    <t>5 × C1 + 1 × C7</t>
  </si>
  <si>
    <t>1 × C1 + 1 × C8</t>
  </si>
  <si>
    <t>stripe integrations?:</t>
  </si>
  <si>
    <t>y(n) = Total cost for n features</t>
  </si>
  <si>
    <t>3.42 = Base price (for the minimal service or initial feature)</t>
  </si>
  <si>
    <t>di​ = Complexity of the ith feature</t>
  </si>
  <si>
    <t>n = Total number of features</t>
  </si>
  <si>
    <t>numerit1 × Complexity x1 &amp; numerit2 × Complexity x2} layers</t>
  </si>
  <si>
    <t>platform parts:</t>
  </si>
  <si>
    <t>Supported OSes:</t>
  </si>
  <si>
    <t>pybrain3</t>
  </si>
  <si>
    <t>Does it run python?</t>
  </si>
  <si>
    <t>numpy1.26.1</t>
  </si>
  <si>
    <t>Yes? then it likely is supported on even that OS unless not installed</t>
  </si>
  <si>
    <t>scipy</t>
  </si>
  <si>
    <t>google tv</t>
  </si>
  <si>
    <t>android</t>
  </si>
  <si>
    <r>
      <rPr/>
      <t xml:space="preserve">apple &amp; IOS ( a-shell &amp; i shell plus python install; seek manual and </t>
    </r>
    <r>
      <rPr>
        <color rgb="FF1155CC"/>
        <u/>
      </rPr>
      <t>claude.ai</t>
    </r>
    <r>
      <rPr/>
      <t xml:space="preserve"> for assistance with google search of it )</t>
    </r>
  </si>
  <si>
    <t>google-watch?</t>
  </si>
  <si>
    <t>&lt;-- If ya get things installed via adb and a good microsd, probably will for andorid 4+</t>
  </si>
  <si>
    <t>ubuntu/debian? &lt;-- yes</t>
  </si>
  <si>
    <t>termux.apk? &lt;-- Test manually but yes.</t>
  </si>
  <si>
    <t>userland.apk? &lt;-- Test manually but yes.</t>
  </si>
  <si>
    <t>Docker? Yes, tools prepackaged</t>
  </si>
  <si>
    <t>#####################################################################################################################</t>
  </si>
  <si>
    <t xml:space="preserve">Since it can be run anywhere including on a cellphone, </t>
  </si>
  <si>
    <t>I figured I would make it possible for a person to download multiple versions of the one they train from their own data.</t>
  </si>
  <si>
    <t>This would make even the free version accessible to them much like a paid subscription plan.</t>
  </si>
  <si>
    <t>Since I will be training it offline via MRI &amp; FASTA data relavent to the human head,</t>
  </si>
  <si>
    <t>this is meant to be trained to be minimally fit and will be up after the 1st of January.</t>
  </si>
  <si>
    <t>After that, I will open a shop for the second stage of stage 10 to AI development with tutorials.</t>
  </si>
  <si>
    <t>To the rest with uncertainties, submission in writing of your concerns and question lingering will be welcomed.</t>
  </si>
  <si>
    <t>Even the hackers of the world are welcomed to join me on this development and new set of findings.</t>
  </si>
  <si>
    <t>Thank you.</t>
  </si>
  <si>
    <t xml:space="preserve">Doing this work is an honour. To many of you on whom knew me when I was growing up, </t>
  </si>
  <si>
    <t xml:space="preserve">Thank you. </t>
  </si>
  <si>
    <t xml:space="preserve">You made the challenge worth it. </t>
  </si>
  <si>
    <t xml:space="preserve">To those I went to church with and on the behalf of, </t>
  </si>
  <si>
    <t>Also thank you.</t>
  </si>
  <si>
    <t>To those of whom asked the same questions Alan Turing did, thank you.</t>
  </si>
  <si>
    <t>You are on the right path, unlike those doing vector processing.</t>
  </si>
  <si>
    <t>complexity:</t>
  </si>
  <si>
    <t>Price:</t>
  </si>
  <si>
    <t>notes:</t>
  </si>
  <si>
    <t>test in deployment mode</t>
  </si>
  <si>
    <t>refund</t>
  </si>
  <si>
    <t>fee for refund to self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</si>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</sst>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sz val="9.0"/>
      <color theme="1"/>
      <name val="Source Code Pro"/>
    </font>
    <font>
      <sz val="9.0"/>
      <color theme="1"/>
      <name val="Source Code Pro"/>
    </font>
    <font>
      <sz val="9.0"/>
      <color rgb="FF000000"/>
      <name val="Source Code Pro"/>
    </font>
    <font>
      <b/>
      <color theme="1"/>
      <name val="Arial"/>
    </font>
    <font>
      <sz val="7.0"/>
      <color rgb="FFFF00FF"/>
      <name val="Source Code Pro"/>
    </font>
    <font>
      <b/>
      <sz val="8.0"/>
      <color theme="1"/>
      <name val="Source Code Pro"/>
    </font>
    <font>
      <color theme="1"/>
      <name val="Arial"/>
    </font>
    <font>
      <b/>
      <i/>
      <color theme="1"/>
      <name val="Arial"/>
      <scheme val="minor"/>
    </font>
    <font>
      <color theme="1"/>
      <name val="Arial"/>
      <scheme val="minor"/>
    </font>
    <font>
      <i/>
      <u/>
      <color theme="1"/>
      <name val="Arial"/>
      <scheme val="minor"/>
    </font>
    <font>
      <b/>
      <i/>
      <u/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4" xfId="0" applyFont="1" applyNumberFormat="1"/>
    <xf borderId="0" fillId="0" fontId="1" numFmtId="4" xfId="0" applyAlignment="1" applyFont="1" applyNumberFormat="1">
      <alignment shrinkToFit="0" wrapText="1"/>
    </xf>
    <xf borderId="0" fillId="0" fontId="2" numFmtId="4" xfId="0" applyAlignment="1" applyFont="1" applyNumberFormat="1">
      <alignment vertical="bottom"/>
    </xf>
    <xf borderId="0" fillId="2" fontId="2" numFmtId="164" xfId="0" applyAlignment="1" applyFill="1" applyFont="1" applyNumberFormat="1">
      <alignment horizontal="right" vertical="bottom"/>
    </xf>
    <xf borderId="0" fillId="0" fontId="2" numFmtId="164" xfId="0" applyFont="1" applyNumberFormat="1"/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1" numFmtId="4" xfId="0" applyFont="1" applyNumberFormat="1"/>
    <xf borderId="0" fillId="2" fontId="3" numFmtId="164" xfId="0" applyAlignment="1" applyFont="1" applyNumberFormat="1">
      <alignment horizontal="right"/>
    </xf>
    <xf borderId="0" fillId="0" fontId="2" numFmtId="0" xfId="0" applyAlignment="1" applyFont="1">
      <alignment horizontal="right" vertical="bottom"/>
    </xf>
    <xf borderId="0" fillId="0" fontId="2" numFmtId="10" xfId="0" applyFont="1" applyNumberFormat="1"/>
    <xf borderId="0" fillId="2" fontId="3" numFmtId="164" xfId="0" applyFont="1" applyNumberFormat="1"/>
    <xf borderId="0" fillId="0" fontId="1" numFmtId="4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3" fontId="5" numFmtId="4" xfId="0" applyAlignment="1" applyFill="1" applyFont="1" applyNumberFormat="1">
      <alignment vertical="bottom"/>
    </xf>
    <xf borderId="0" fillId="3" fontId="2" numFmtId="4" xfId="0" applyFont="1" applyNumberFormat="1"/>
    <xf borderId="0" fillId="0" fontId="6" numFmtId="4" xfId="0" applyFont="1" applyNumberFormat="1"/>
    <xf borderId="0" fillId="0" fontId="7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4" fontId="3" numFmtId="4" xfId="0" applyFill="1" applyFont="1" applyNumberFormat="1"/>
    <xf borderId="0" fillId="0" fontId="6" numFmtId="4" xfId="0" applyAlignment="1" applyFont="1" applyNumberFormat="1">
      <alignment horizontal="left" vertical="center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>
        <color rgb="FF00FF00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3" width="12.63"/>
    <col customWidth="1" min="4" max="4" width="10.75"/>
    <col customWidth="1" min="5" max="5" width="7.0"/>
    <col customWidth="1" min="6" max="6" width="5.13"/>
    <col customWidth="1" min="7" max="7" width="6.0"/>
    <col customWidth="1" min="8" max="8" width="5.63"/>
    <col customWidth="1" min="10" max="10" width="37.0"/>
    <col customWidth="1" min="11" max="11" width="3.5"/>
    <col customWidth="1" min="12" max="12" width="10.88"/>
  </cols>
  <sheetData>
    <row r="1" ht="61.5" customHeight="1">
      <c r="A1" s="1" t="s">
        <v>0</v>
      </c>
      <c r="B1" s="1" t="s">
        <v>1</v>
      </c>
      <c r="C1" s="2" t="s">
        <v>2</v>
      </c>
      <c r="D1" s="1" t="s">
        <v>3</v>
      </c>
      <c r="E1" s="2"/>
      <c r="F1" s="1"/>
      <c r="G1" s="1"/>
      <c r="H1" s="3"/>
      <c r="I1" s="3" t="s">
        <v>4</v>
      </c>
      <c r="J1" s="3"/>
      <c r="K1" s="3"/>
      <c r="L1" s="4" t="s">
        <v>5</v>
      </c>
    </row>
    <row r="2" ht="15.75" customHeight="1">
      <c r="A2" s="5" t="s">
        <v>6</v>
      </c>
      <c r="B2" s="6">
        <f>6*G28</f>
        <v>3.42</v>
      </c>
      <c r="C2" s="7">
        <f t="shared" ref="C2:C25" si="1">sum(B2)*L2</f>
        <v>923.4</v>
      </c>
      <c r="D2" s="8">
        <v>6.0</v>
      </c>
      <c r="E2" s="9" t="s">
        <v>7</v>
      </c>
      <c r="F2" s="7"/>
      <c r="G2" s="7"/>
      <c r="H2" s="3"/>
      <c r="I2" s="3" t="s">
        <v>8</v>
      </c>
      <c r="J2" s="3"/>
      <c r="K2" s="3"/>
      <c r="L2" s="8">
        <v>270.0</v>
      </c>
    </row>
    <row r="3" ht="15.75" customHeight="1">
      <c r="A3" s="5" t="s">
        <v>9</v>
      </c>
      <c r="B3" s="6">
        <f>sum((G28*1)+(G29*1))</f>
        <v>3.83</v>
      </c>
      <c r="C3" s="7">
        <f t="shared" si="1"/>
        <v>1034.1</v>
      </c>
      <c r="D3" s="8">
        <v>2.0</v>
      </c>
      <c r="E3" s="9" t="s">
        <v>7</v>
      </c>
      <c r="F3" s="7"/>
      <c r="G3" s="7"/>
      <c r="H3" s="3"/>
      <c r="I3" s="10" t="s">
        <v>10</v>
      </c>
      <c r="J3" s="3"/>
      <c r="K3" s="10"/>
      <c r="L3" s="11">
        <v>270.0</v>
      </c>
    </row>
    <row r="4" ht="15.75" customHeight="1">
      <c r="A4" s="5" t="s">
        <v>11</v>
      </c>
      <c r="B4" s="6">
        <f>sum((G28*2)+(G29*1))</f>
        <v>4.4</v>
      </c>
      <c r="C4" s="7">
        <f t="shared" si="1"/>
        <v>1188</v>
      </c>
      <c r="D4" s="8">
        <v>3.0</v>
      </c>
      <c r="E4" s="9" t="s">
        <v>7</v>
      </c>
      <c r="F4" s="7"/>
      <c r="G4" s="7"/>
      <c r="H4" s="3"/>
      <c r="I4" s="3"/>
      <c r="J4" s="3"/>
      <c r="K4" s="3"/>
      <c r="L4" s="8">
        <v>270.0</v>
      </c>
    </row>
    <row r="5" ht="15.75" customHeight="1">
      <c r="A5" s="5" t="s">
        <v>12</v>
      </c>
      <c r="B5" s="6">
        <f>sum((G28*3)+(G29*1))</f>
        <v>4.97</v>
      </c>
      <c r="C5" s="7">
        <f t="shared" si="1"/>
        <v>1341.9</v>
      </c>
      <c r="D5" s="8">
        <v>4.0</v>
      </c>
      <c r="E5" s="9" t="s">
        <v>7</v>
      </c>
      <c r="F5" s="7"/>
      <c r="G5" s="7"/>
      <c r="H5" s="3"/>
      <c r="I5" s="3"/>
      <c r="J5" s="3"/>
      <c r="K5" s="3"/>
      <c r="L5" s="8">
        <v>270.0</v>
      </c>
    </row>
    <row r="6" ht="15.75" customHeight="1">
      <c r="A6" s="5" t="s">
        <v>13</v>
      </c>
      <c r="B6" s="6">
        <f>sum((G28*4)+(G29*1))</f>
        <v>5.54</v>
      </c>
      <c r="C6" s="7">
        <f t="shared" si="1"/>
        <v>1495.8</v>
      </c>
      <c r="D6" s="8">
        <v>5.0</v>
      </c>
      <c r="E6" s="9" t="s">
        <v>7</v>
      </c>
      <c r="F6" s="7"/>
      <c r="G6" s="7"/>
      <c r="H6" s="3"/>
      <c r="I6" s="3"/>
      <c r="J6" s="3"/>
      <c r="K6" s="3"/>
      <c r="L6" s="8">
        <v>270.0</v>
      </c>
    </row>
    <row r="7" ht="15.75" customHeight="1">
      <c r="A7" s="5" t="s">
        <v>14</v>
      </c>
      <c r="B7" s="6">
        <f>sum((G28*5)+(G29*1))</f>
        <v>6.11</v>
      </c>
      <c r="C7" s="7">
        <f t="shared" si="1"/>
        <v>1649.7</v>
      </c>
      <c r="D7" s="8">
        <v>6.0</v>
      </c>
      <c r="E7" s="9" t="s">
        <v>7</v>
      </c>
      <c r="F7" s="7"/>
      <c r="G7" s="7"/>
      <c r="H7" s="3"/>
      <c r="I7" s="3"/>
      <c r="J7" s="3"/>
      <c r="K7" s="3"/>
      <c r="L7" s="8">
        <v>270.0</v>
      </c>
    </row>
    <row r="8" ht="15.75" customHeight="1">
      <c r="A8" s="5" t="s">
        <v>15</v>
      </c>
      <c r="B8" s="6">
        <f>sum((G28*1)+(G30*1))</f>
        <v>6.52</v>
      </c>
      <c r="C8" s="7">
        <f t="shared" si="1"/>
        <v>1760.4</v>
      </c>
      <c r="D8" s="8">
        <v>2.0</v>
      </c>
      <c r="E8" s="9" t="s">
        <v>7</v>
      </c>
      <c r="F8" s="7"/>
      <c r="G8" s="7"/>
      <c r="H8" s="3"/>
      <c r="I8" s="3"/>
      <c r="J8" s="3"/>
      <c r="K8" s="3"/>
      <c r="L8" s="8">
        <v>270.0</v>
      </c>
    </row>
    <row r="9" ht="15.75" customHeight="1">
      <c r="A9" s="5" t="s">
        <v>16</v>
      </c>
      <c r="B9" s="6">
        <f>sum((G28*2)+(G30*1))</f>
        <v>7.09</v>
      </c>
      <c r="C9" s="7">
        <f t="shared" si="1"/>
        <v>1914.3</v>
      </c>
      <c r="D9" s="8">
        <v>3.0</v>
      </c>
      <c r="E9" s="9" t="s">
        <v>7</v>
      </c>
      <c r="F9" s="7"/>
      <c r="G9" s="7"/>
      <c r="H9" s="3"/>
      <c r="I9" s="3"/>
      <c r="J9" s="3"/>
      <c r="K9" s="3"/>
      <c r="L9" s="8">
        <v>270.0</v>
      </c>
    </row>
    <row r="10" ht="15.75" customHeight="1">
      <c r="A10" s="5" t="s">
        <v>17</v>
      </c>
      <c r="B10" s="6">
        <f>sum((G28*2)+(G29*2))</f>
        <v>7.66</v>
      </c>
      <c r="C10" s="7">
        <f t="shared" si="1"/>
        <v>2068.2</v>
      </c>
      <c r="D10" s="8">
        <v>4.0</v>
      </c>
      <c r="E10" s="9" t="s">
        <v>7</v>
      </c>
      <c r="F10" s="7"/>
      <c r="G10" s="7"/>
      <c r="H10" s="3"/>
      <c r="I10" s="3"/>
      <c r="J10" s="3"/>
      <c r="K10" s="3"/>
      <c r="L10" s="8">
        <v>270.0</v>
      </c>
    </row>
    <row r="11" ht="15.75" customHeight="1">
      <c r="A11" s="5" t="s">
        <v>18</v>
      </c>
      <c r="B11" s="6">
        <f>sum((G28*3)+(G30*1))</f>
        <v>7.66</v>
      </c>
      <c r="C11" s="7">
        <f t="shared" si="1"/>
        <v>2068.2</v>
      </c>
      <c r="D11" s="8">
        <v>4.0</v>
      </c>
      <c r="E11" s="9" t="s">
        <v>7</v>
      </c>
      <c r="F11" s="7"/>
      <c r="G11" s="7"/>
      <c r="H11" s="3"/>
      <c r="I11" s="3"/>
      <c r="J11" s="3"/>
      <c r="K11" s="3"/>
      <c r="L11" s="8">
        <v>270.0</v>
      </c>
    </row>
    <row r="12" ht="15.75" customHeight="1">
      <c r="A12" s="5" t="s">
        <v>19</v>
      </c>
      <c r="B12" s="6">
        <f>sum((G28*4)+(G30*1))</f>
        <v>8.23</v>
      </c>
      <c r="C12" s="7">
        <f t="shared" si="1"/>
        <v>2222.1</v>
      </c>
      <c r="D12" s="8">
        <v>5.0</v>
      </c>
      <c r="E12" s="9" t="s">
        <v>7</v>
      </c>
      <c r="F12" s="7"/>
      <c r="G12" s="7"/>
      <c r="H12" s="3"/>
      <c r="I12" s="3"/>
      <c r="J12" s="3"/>
      <c r="K12" s="3"/>
      <c r="L12" s="8">
        <v>270.0</v>
      </c>
    </row>
    <row r="13" ht="15.75" customHeight="1">
      <c r="A13" s="5" t="s">
        <v>20</v>
      </c>
      <c r="B13" s="6">
        <f>sum((G28*5)+(G30*1))</f>
        <v>8.8</v>
      </c>
      <c r="C13" s="7">
        <f t="shared" si="1"/>
        <v>2376</v>
      </c>
      <c r="D13" s="8">
        <v>6.0</v>
      </c>
      <c r="E13" s="9" t="s">
        <v>7</v>
      </c>
      <c r="F13" s="7"/>
      <c r="G13" s="7"/>
      <c r="H13" s="3"/>
      <c r="I13" s="3"/>
      <c r="J13" s="3"/>
      <c r="K13" s="3"/>
      <c r="L13" s="8">
        <v>270.0</v>
      </c>
    </row>
    <row r="14" ht="15.75" customHeight="1">
      <c r="A14" s="5" t="s">
        <v>21</v>
      </c>
      <c r="B14" s="6">
        <f>sum((G28*3)+(G31*1))</f>
        <v>10.35</v>
      </c>
      <c r="C14" s="7">
        <f t="shared" si="1"/>
        <v>2794.5</v>
      </c>
      <c r="D14" s="8">
        <v>4.0</v>
      </c>
      <c r="E14" s="9" t="s">
        <v>7</v>
      </c>
      <c r="F14" s="7"/>
      <c r="G14" s="7"/>
      <c r="H14" s="3"/>
      <c r="I14" s="3"/>
      <c r="J14" s="3"/>
      <c r="K14" s="3"/>
      <c r="L14" s="8">
        <v>270.0</v>
      </c>
    </row>
    <row r="15" ht="15.75" customHeight="1">
      <c r="A15" s="5" t="s">
        <v>22</v>
      </c>
      <c r="B15" s="6">
        <f>sum((G28*4)+(G31*1))</f>
        <v>10.92</v>
      </c>
      <c r="C15" s="7">
        <f t="shared" si="1"/>
        <v>2948.4</v>
      </c>
      <c r="D15" s="8">
        <v>5.0</v>
      </c>
      <c r="E15" s="9" t="s">
        <v>7</v>
      </c>
      <c r="F15" s="7"/>
      <c r="G15" s="7"/>
      <c r="H15" s="3"/>
      <c r="I15" s="12" t="s">
        <v>23</v>
      </c>
      <c r="J15" s="3"/>
      <c r="K15" s="3"/>
      <c r="L15" s="8">
        <v>270.0</v>
      </c>
    </row>
    <row r="16" ht="15.75" customHeight="1">
      <c r="A16" s="5" t="s">
        <v>24</v>
      </c>
      <c r="B16" s="13">
        <f>sum((G28*5)+(G31*1))</f>
        <v>11.49</v>
      </c>
      <c r="C16" s="7">
        <f t="shared" si="1"/>
        <v>3102.3</v>
      </c>
      <c r="D16" s="14">
        <v>6.0</v>
      </c>
      <c r="E16" s="9" t="s">
        <v>7</v>
      </c>
      <c r="F16" s="7"/>
      <c r="G16" s="7"/>
      <c r="H16" s="3"/>
      <c r="I16" s="15">
        <v>0.0825</v>
      </c>
      <c r="J16" s="3"/>
      <c r="K16" s="3"/>
      <c r="L16" s="8">
        <v>270.0</v>
      </c>
    </row>
    <row r="17" ht="15.75" customHeight="1">
      <c r="A17" s="5" t="s">
        <v>25</v>
      </c>
      <c r="B17" s="16">
        <f>sum((G28*1)+(G30*2))</f>
        <v>12.47</v>
      </c>
      <c r="C17" s="7">
        <f t="shared" si="1"/>
        <v>3366.9</v>
      </c>
      <c r="D17" s="14">
        <v>3.0</v>
      </c>
      <c r="E17" s="9" t="s">
        <v>7</v>
      </c>
      <c r="F17" s="7"/>
      <c r="G17" s="7"/>
      <c r="H17" s="3"/>
      <c r="I17" s="12" t="s">
        <v>26</v>
      </c>
      <c r="J17" s="3"/>
      <c r="K17" s="3"/>
      <c r="L17" s="8">
        <v>270.0</v>
      </c>
    </row>
    <row r="18" ht="15.75" customHeight="1">
      <c r="A18" s="5" t="s">
        <v>27</v>
      </c>
      <c r="B18" s="13">
        <f>sum((G28*0)+(G29*4))</f>
        <v>13.04</v>
      </c>
      <c r="C18" s="7">
        <f t="shared" si="1"/>
        <v>3520.8</v>
      </c>
      <c r="D18" s="14">
        <v>4.0</v>
      </c>
      <c r="E18" s="9" t="s">
        <v>7</v>
      </c>
      <c r="F18" s="3"/>
      <c r="G18" s="3"/>
      <c r="H18" s="3"/>
      <c r="I18" s="3" t="s">
        <v>28</v>
      </c>
      <c r="J18" s="3"/>
      <c r="K18" s="3"/>
      <c r="L18" s="8">
        <v>270.0</v>
      </c>
    </row>
    <row r="19" ht="15.75" customHeight="1">
      <c r="A19" s="5" t="s">
        <v>29</v>
      </c>
      <c r="B19" s="6">
        <f>sum((G28*3)+(G32*1))</f>
        <v>13.04</v>
      </c>
      <c r="C19" s="7">
        <f t="shared" si="1"/>
        <v>3520.8</v>
      </c>
      <c r="D19" s="14">
        <v>4.0</v>
      </c>
      <c r="E19" s="9" t="s">
        <v>7</v>
      </c>
      <c r="F19" s="7"/>
      <c r="G19" s="7"/>
      <c r="H19" s="3"/>
      <c r="I19" s="3"/>
      <c r="J19" s="3"/>
      <c r="K19" s="3"/>
      <c r="L19" s="8">
        <v>270.0</v>
      </c>
    </row>
    <row r="20" ht="15.75" customHeight="1">
      <c r="A20" s="5" t="s">
        <v>30</v>
      </c>
      <c r="B20" s="6">
        <f>sum((G28*5)+(G32*1))</f>
        <v>14.18</v>
      </c>
      <c r="C20" s="7">
        <f t="shared" si="1"/>
        <v>3828.6</v>
      </c>
      <c r="D20" s="14">
        <v>6.0</v>
      </c>
      <c r="E20" s="9" t="s">
        <v>7</v>
      </c>
      <c r="F20" s="3"/>
      <c r="G20" s="3"/>
      <c r="H20" s="3"/>
      <c r="I20" s="3"/>
      <c r="J20" s="3"/>
      <c r="K20" s="3"/>
      <c r="L20" s="8">
        <v>270.0</v>
      </c>
    </row>
    <row r="21" ht="15.75" customHeight="1">
      <c r="A21" s="5" t="s">
        <v>31</v>
      </c>
      <c r="B21" s="6">
        <f>sum((G28*5)+(G33*1))</f>
        <v>16.91</v>
      </c>
      <c r="C21" s="7">
        <f t="shared" si="1"/>
        <v>4565.7</v>
      </c>
      <c r="D21" s="14">
        <v>6.0</v>
      </c>
      <c r="E21" s="9" t="s">
        <v>7</v>
      </c>
      <c r="F21" s="3"/>
      <c r="G21" s="3"/>
      <c r="H21" s="3"/>
      <c r="I21" s="3"/>
      <c r="J21" s="3"/>
      <c r="K21" s="3"/>
      <c r="L21" s="8">
        <v>270.0</v>
      </c>
    </row>
    <row r="22" ht="15.75" customHeight="1">
      <c r="A22" s="5" t="s">
        <v>32</v>
      </c>
      <c r="B22" s="6">
        <f>sum((G30*1)+(G32*1)+(G28*1))</f>
        <v>17.85</v>
      </c>
      <c r="C22" s="7">
        <f t="shared" si="1"/>
        <v>4819.5</v>
      </c>
      <c r="D22" s="14">
        <v>3.0</v>
      </c>
      <c r="E22" s="9" t="s">
        <v>7</v>
      </c>
      <c r="F22" s="3"/>
      <c r="G22" s="3"/>
      <c r="H22" s="3"/>
      <c r="I22" s="3"/>
      <c r="J22" s="3"/>
      <c r="K22" s="3"/>
      <c r="L22" s="8">
        <v>270.0</v>
      </c>
    </row>
    <row r="23" ht="15.75" customHeight="1">
      <c r="A23" s="5" t="s">
        <v>33</v>
      </c>
      <c r="B23" s="6">
        <f>sum((G28*2)+(G34*1))</f>
        <v>17.85</v>
      </c>
      <c r="C23" s="7">
        <f t="shared" si="1"/>
        <v>4819.5</v>
      </c>
      <c r="D23" s="14">
        <v>3.0</v>
      </c>
      <c r="E23" s="9" t="s">
        <v>7</v>
      </c>
      <c r="F23" s="3"/>
      <c r="G23" s="3"/>
      <c r="H23" s="3"/>
      <c r="I23" s="3"/>
      <c r="J23" s="3"/>
      <c r="K23" s="3"/>
      <c r="L23" s="8">
        <v>270.0</v>
      </c>
    </row>
    <row r="24" ht="15.75" customHeight="1">
      <c r="A24" s="5" t="s">
        <v>34</v>
      </c>
      <c r="B24" s="6">
        <f>sum((G28*5)+(G34*1))</f>
        <v>19.56</v>
      </c>
      <c r="C24" s="7">
        <f t="shared" si="1"/>
        <v>5281.2</v>
      </c>
      <c r="D24" s="8">
        <v>6.0</v>
      </c>
      <c r="E24" s="9" t="s">
        <v>7</v>
      </c>
      <c r="F24" s="3"/>
      <c r="G24" s="3"/>
      <c r="H24" s="3"/>
      <c r="I24" s="3"/>
      <c r="J24" s="3"/>
      <c r="K24" s="3"/>
      <c r="L24" s="8">
        <v>270.0</v>
      </c>
    </row>
    <row r="25" ht="15.75" customHeight="1">
      <c r="A25" s="5" t="s">
        <v>35</v>
      </c>
      <c r="B25" s="6">
        <f>sum((G28*1)+(G35*1))</f>
        <v>19.99</v>
      </c>
      <c r="C25" s="7">
        <f t="shared" si="1"/>
        <v>5397.3</v>
      </c>
      <c r="D25" s="8">
        <v>2.0</v>
      </c>
      <c r="E25" s="9" t="s">
        <v>7</v>
      </c>
      <c r="F25" s="3"/>
      <c r="G25" s="3"/>
      <c r="H25" s="3"/>
      <c r="I25" s="3"/>
      <c r="J25" s="3"/>
      <c r="K25" s="3"/>
      <c r="L25" s="8">
        <v>270.0</v>
      </c>
    </row>
    <row r="26" ht="13.5" customHeight="1">
      <c r="A26" s="1"/>
      <c r="B26" s="1"/>
      <c r="C26" s="2"/>
      <c r="D26" s="1"/>
      <c r="E26" s="17" t="s">
        <v>36</v>
      </c>
      <c r="F26" s="3"/>
      <c r="G26" s="3"/>
      <c r="H26" s="3"/>
      <c r="I26" s="18"/>
      <c r="J26" s="3"/>
      <c r="K26" s="3"/>
      <c r="L26" s="3"/>
    </row>
    <row r="27" ht="15.75" customHeight="1">
      <c r="A27" s="3"/>
      <c r="B27" s="19" t="s">
        <v>37</v>
      </c>
      <c r="C27" s="20"/>
      <c r="D27" s="3"/>
      <c r="E27" s="3"/>
      <c r="F27" s="3"/>
      <c r="G27" s="21"/>
      <c r="H27" s="3"/>
      <c r="I27" s="22"/>
      <c r="J27" s="3"/>
      <c r="K27" s="3"/>
      <c r="L27" s="3"/>
    </row>
    <row r="28" ht="15.75" customHeight="1">
      <c r="A28" s="3"/>
      <c r="B28" s="19" t="s">
        <v>38</v>
      </c>
      <c r="C28" s="20"/>
      <c r="D28" s="20"/>
      <c r="E28" s="20"/>
      <c r="F28" s="8"/>
      <c r="G28" s="16">
        <f>sum('complexity based pricing'!B2)</f>
        <v>0.57</v>
      </c>
      <c r="H28" s="3"/>
      <c r="I28" s="22"/>
      <c r="J28" s="3"/>
      <c r="K28" s="3"/>
      <c r="L28" s="3"/>
    </row>
    <row r="29" ht="15.75" customHeight="1">
      <c r="A29" s="3"/>
      <c r="B29" s="19" t="s">
        <v>39</v>
      </c>
      <c r="C29" s="20"/>
      <c r="D29" s="3"/>
      <c r="E29" s="3"/>
      <c r="F29" s="3"/>
      <c r="G29" s="16">
        <f>sum('complexity based pricing'!B3)</f>
        <v>3.26</v>
      </c>
      <c r="H29" s="3"/>
      <c r="I29" s="22"/>
      <c r="J29" s="3"/>
      <c r="K29" s="3"/>
      <c r="L29" s="3"/>
    </row>
    <row r="30" ht="15.75" customHeight="1">
      <c r="A30" s="3"/>
      <c r="B30" s="19" t="s">
        <v>40</v>
      </c>
      <c r="C30" s="20"/>
      <c r="D30" s="3"/>
      <c r="E30" s="3"/>
      <c r="F30" s="3"/>
      <c r="G30" s="16">
        <f>sum('complexity based pricing'!B4)</f>
        <v>5.95</v>
      </c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16">
        <f>sum('complexity based pricing'!B5)</f>
        <v>8.64</v>
      </c>
      <c r="H31" s="3"/>
      <c r="I31" s="3"/>
      <c r="J31" s="3"/>
      <c r="K31" s="3"/>
      <c r="L31" s="3"/>
    </row>
    <row r="32" ht="15.75" customHeight="1">
      <c r="A32" s="5"/>
      <c r="B32" s="7"/>
      <c r="C32" s="3"/>
      <c r="D32" s="23"/>
      <c r="E32" s="3"/>
      <c r="F32" s="3"/>
      <c r="G32" s="16">
        <f>sum('complexity based pricing'!B6)</f>
        <v>11.33</v>
      </c>
      <c r="H32" s="3"/>
      <c r="I32" s="3"/>
      <c r="J32" s="3"/>
      <c r="K32" s="3"/>
      <c r="L32" s="3"/>
    </row>
    <row r="33" ht="15.75" customHeight="1">
      <c r="A33" s="5"/>
      <c r="B33" s="3"/>
      <c r="C33" s="3"/>
      <c r="D33" s="23"/>
      <c r="E33" s="3"/>
      <c r="F33" s="3"/>
      <c r="G33" s="16">
        <f>sum('complexity based pricing'!B7)</f>
        <v>14.06</v>
      </c>
      <c r="H33" s="3"/>
      <c r="I33" s="3"/>
      <c r="J33" s="3"/>
      <c r="K33" s="3"/>
      <c r="L33" s="3"/>
    </row>
    <row r="34" ht="15.75" customHeight="1">
      <c r="A34" s="5"/>
      <c r="B34" s="7"/>
      <c r="C34" s="3"/>
      <c r="D34" s="23"/>
      <c r="E34" s="3"/>
      <c r="F34" s="3"/>
      <c r="G34" s="16">
        <f>sum('complexity based pricing'!B8)</f>
        <v>16.71</v>
      </c>
      <c r="H34" s="3"/>
      <c r="I34" s="3"/>
      <c r="J34" s="3"/>
      <c r="K34" s="3"/>
      <c r="L34" s="3"/>
    </row>
    <row r="35" ht="15.75" customHeight="1">
      <c r="A35" s="24" t="s">
        <v>41</v>
      </c>
      <c r="B35" s="7"/>
      <c r="C35" s="3"/>
      <c r="D35" s="23"/>
      <c r="E35" s="3"/>
      <c r="F35" s="3"/>
      <c r="G35" s="16">
        <f>sum('complexity based pricing'!B9)</f>
        <v>19.42</v>
      </c>
      <c r="H35" s="3"/>
      <c r="I35" s="3"/>
      <c r="J35" s="3"/>
      <c r="K35" s="3"/>
      <c r="L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42</v>
      </c>
      <c r="C1" s="26" t="s">
        <v>43</v>
      </c>
    </row>
    <row r="2">
      <c r="A2" s="27" t="s">
        <v>44</v>
      </c>
      <c r="C2" s="28" t="s">
        <v>45</v>
      </c>
    </row>
    <row r="3">
      <c r="A3" s="27" t="s">
        <v>46</v>
      </c>
      <c r="C3" s="26" t="s">
        <v>47</v>
      </c>
    </row>
    <row r="4">
      <c r="A4" s="27" t="s">
        <v>48</v>
      </c>
    </row>
    <row r="5">
      <c r="D5" s="26" t="s">
        <v>49</v>
      </c>
    </row>
    <row r="6">
      <c r="D6" s="26" t="s">
        <v>50</v>
      </c>
    </row>
    <row r="7">
      <c r="D7" s="29" t="s">
        <v>51</v>
      </c>
    </row>
    <row r="8">
      <c r="D8" s="26" t="s">
        <v>52</v>
      </c>
      <c r="E8" s="26" t="s">
        <v>53</v>
      </c>
    </row>
    <row r="9">
      <c r="D9" s="26" t="s">
        <v>54</v>
      </c>
    </row>
    <row r="10">
      <c r="D10" s="26" t="s">
        <v>55</v>
      </c>
    </row>
    <row r="11">
      <c r="D11" s="26" t="s">
        <v>56</v>
      </c>
    </row>
    <row r="12">
      <c r="D12" s="26" t="s">
        <v>57</v>
      </c>
    </row>
    <row r="14">
      <c r="A14" s="26" t="s">
        <v>58</v>
      </c>
    </row>
    <row r="16">
      <c r="A16" s="26" t="s">
        <v>59</v>
      </c>
    </row>
    <row r="17">
      <c r="B17" s="26" t="s">
        <v>60</v>
      </c>
    </row>
    <row r="18">
      <c r="B18" s="26" t="s">
        <v>61</v>
      </c>
    </row>
    <row r="19">
      <c r="C19" s="26" t="s">
        <v>62</v>
      </c>
    </row>
    <row r="20">
      <c r="B20" s="26" t="s">
        <v>63</v>
      </c>
    </row>
    <row r="22">
      <c r="A22" s="26" t="s">
        <v>64</v>
      </c>
    </row>
    <row r="23">
      <c r="B23" s="26" t="s">
        <v>65</v>
      </c>
    </row>
    <row r="24">
      <c r="B24" s="26" t="s">
        <v>66</v>
      </c>
    </row>
    <row r="26">
      <c r="B26" s="26" t="s">
        <v>67</v>
      </c>
    </row>
    <row r="27">
      <c r="C27" s="26" t="s">
        <v>68</v>
      </c>
    </row>
    <row r="28">
      <c r="C28" s="26" t="s">
        <v>69</v>
      </c>
    </row>
    <row r="29">
      <c r="C29" s="26" t="s">
        <v>70</v>
      </c>
    </row>
    <row r="30">
      <c r="C30" s="26" t="s">
        <v>71</v>
      </c>
    </row>
    <row r="31">
      <c r="C31" s="26" t="s">
        <v>72</v>
      </c>
    </row>
    <row r="33">
      <c r="C33" s="26" t="s">
        <v>73</v>
      </c>
    </row>
    <row r="34">
      <c r="D34" s="26" t="s">
        <v>74</v>
      </c>
    </row>
  </sheetData>
  <hyperlinks>
    <hyperlink r:id="rId1" ref="D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</cols>
  <sheetData>
    <row r="1">
      <c r="A1" s="30" t="s">
        <v>75</v>
      </c>
      <c r="B1" s="30" t="s">
        <v>76</v>
      </c>
    </row>
    <row r="2">
      <c r="A2" s="26">
        <v>1.0</v>
      </c>
      <c r="B2" s="31">
        <v>0.57</v>
      </c>
    </row>
    <row r="3">
      <c r="A3" s="26">
        <v>2.0</v>
      </c>
      <c r="B3" s="16">
        <v>3.26</v>
      </c>
    </row>
    <row r="4">
      <c r="A4" s="26">
        <v>3.0</v>
      </c>
      <c r="B4" s="16">
        <v>5.95</v>
      </c>
    </row>
    <row r="5">
      <c r="A5" s="26">
        <v>4.0</v>
      </c>
      <c r="B5" s="16">
        <v>8.64</v>
      </c>
    </row>
    <row r="6">
      <c r="A6" s="26">
        <v>5.0</v>
      </c>
      <c r="B6" s="16">
        <v>11.33</v>
      </c>
    </row>
    <row r="7">
      <c r="A7" s="26">
        <v>6.0</v>
      </c>
      <c r="B7" s="16">
        <v>14.06</v>
      </c>
    </row>
    <row r="8">
      <c r="A8" s="26">
        <v>7.0</v>
      </c>
      <c r="B8" s="16">
        <v>16.71</v>
      </c>
    </row>
    <row r="9">
      <c r="A9" s="26">
        <v>8.0</v>
      </c>
      <c r="B9" s="16">
        <v>19.42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3" width="6.25"/>
    <col customWidth="1" min="14" max="14" width="66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32"/>
      <c r="K1" s="7">
        <v>3.83</v>
      </c>
      <c r="L1" s="7"/>
      <c r="M1" s="3"/>
      <c r="N1" s="18" t="s">
        <v>77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32"/>
      <c r="K2" s="7">
        <v>-3.83</v>
      </c>
      <c r="L2" s="7"/>
      <c r="M2" s="3"/>
      <c r="N2" s="22" t="s">
        <v>78</v>
      </c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32">
        <v>-0.41</v>
      </c>
      <c r="L3" s="7"/>
      <c r="M3" s="3"/>
      <c r="N3" s="22" t="s">
        <v>79</v>
      </c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3"/>
      <c r="N4" s="22" t="s">
        <v>80</v>
      </c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3"/>
      <c r="N5" s="3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"/>
      <c r="N6" s="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"/>
      <c r="N7" s="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3"/>
      <c r="N9" s="3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3"/>
      <c r="N12" s="3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12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1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12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3"/>
      <c r="N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4"/>
      <c r="F27" s="21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8"/>
      <c r="C28" s="3"/>
      <c r="D28" s="3"/>
      <c r="E28" s="8"/>
      <c r="F28" s="3"/>
      <c r="G28" s="8"/>
      <c r="H28" s="8"/>
      <c r="I28" s="8"/>
      <c r="J28" s="8"/>
      <c r="K28" s="8"/>
      <c r="L28" s="3"/>
      <c r="M28" s="3"/>
      <c r="N28" s="3"/>
    </row>
    <row r="29" ht="15.75" customHeight="1">
      <c r="A29" s="3"/>
      <c r="B29" s="3"/>
      <c r="C29" s="3"/>
      <c r="D29" s="3"/>
      <c r="E29" s="8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3"/>
      <c r="N30" s="3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"/>
      <c r="N31" s="18"/>
    </row>
    <row r="32" ht="15.75" customHeight="1">
      <c r="A32" s="35" t="s">
        <v>81</v>
      </c>
      <c r="B32" s="35" t="s">
        <v>82</v>
      </c>
      <c r="C32" s="35" t="s">
        <v>83</v>
      </c>
      <c r="D32" s="35" t="s">
        <v>84</v>
      </c>
      <c r="E32" s="35" t="s">
        <v>85</v>
      </c>
      <c r="F32" s="35" t="s">
        <v>86</v>
      </c>
      <c r="G32" s="35" t="s">
        <v>87</v>
      </c>
      <c r="H32" s="35" t="s">
        <v>88</v>
      </c>
      <c r="I32" s="35" t="s">
        <v>89</v>
      </c>
      <c r="J32" s="35" t="s">
        <v>90</v>
      </c>
      <c r="K32" s="35" t="s">
        <v>91</v>
      </c>
      <c r="L32" s="35" t="s">
        <v>92</v>
      </c>
      <c r="M32" s="3"/>
      <c r="N32" s="18"/>
    </row>
    <row r="33" ht="15.75" customHeight="1">
      <c r="A33" s="36" t="s">
        <v>93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3"/>
      <c r="N33" s="3"/>
    </row>
    <row r="34" ht="15.75" customHeight="1">
      <c r="A34" s="37">
        <f t="shared" ref="A34:L34" si="1">sum(A1:A30)</f>
        <v>0</v>
      </c>
      <c r="B34" s="37">
        <f t="shared" si="1"/>
        <v>0</v>
      </c>
      <c r="C34" s="37">
        <f t="shared" si="1"/>
        <v>0</v>
      </c>
      <c r="D34" s="37">
        <f t="shared" si="1"/>
        <v>0</v>
      </c>
      <c r="E34" s="37">
        <f t="shared" si="1"/>
        <v>0</v>
      </c>
      <c r="F34" s="37">
        <f t="shared" si="1"/>
        <v>0</v>
      </c>
      <c r="G34" s="37">
        <f t="shared" si="1"/>
        <v>0</v>
      </c>
      <c r="H34" s="37">
        <f t="shared" si="1"/>
        <v>0</v>
      </c>
      <c r="I34" s="37">
        <f t="shared" si="1"/>
        <v>0</v>
      </c>
      <c r="J34" s="37">
        <f t="shared" si="1"/>
        <v>0</v>
      </c>
      <c r="K34" s="37">
        <f t="shared" si="1"/>
        <v>-0.41</v>
      </c>
      <c r="L34" s="37">
        <f t="shared" si="1"/>
        <v>0</v>
      </c>
      <c r="M34" s="3"/>
      <c r="N34" s="3"/>
    </row>
    <row r="35" ht="15.75" customHeight="1">
      <c r="A35" s="3"/>
      <c r="B35" s="3"/>
      <c r="C35" s="3"/>
      <c r="D35" s="3"/>
      <c r="E35" s="8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8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1:L31">
    <cfRule type="cellIs" dxfId="0" priority="1" operator="greaterThan">
      <formula>0</formula>
    </cfRule>
  </conditionalFormatting>
  <conditionalFormatting sqref="A1:L31">
    <cfRule type="cellIs" dxfId="1" priority="2" operator="lessThan">
      <formula>0</formula>
    </cfRule>
  </conditionalFormatting>
  <conditionalFormatting sqref="A34:L34">
    <cfRule type="cellIs" dxfId="0" priority="3" operator="greaterThan">
      <formula>"$0.00"</formula>
    </cfRule>
  </conditionalFormatting>
  <conditionalFormatting sqref="A34:L34">
    <cfRule type="cellIs" dxfId="1" priority="4" operator="lessThan">
      <formula>"$0.00"</formula>
    </cfRule>
  </conditionalFormatting>
  <conditionalFormatting sqref="A34:L34">
    <cfRule type="cellIs" dxfId="2" priority="5" operator="equal">
      <formula>"$0.00"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3" width="6.25"/>
    <col customWidth="1" min="14" max="14" width="66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32"/>
      <c r="K1" s="32"/>
      <c r="L1" s="7"/>
      <c r="M1" s="3"/>
      <c r="N1" s="18" t="s">
        <v>77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32"/>
      <c r="K2" s="32"/>
      <c r="L2" s="7"/>
      <c r="M2" s="3"/>
      <c r="N2" s="22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32"/>
      <c r="L3" s="7"/>
      <c r="M3" s="3"/>
      <c r="N3" s="22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3"/>
      <c r="N4" s="22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3"/>
      <c r="N5" s="3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"/>
      <c r="N6" s="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"/>
      <c r="N7" s="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3"/>
      <c r="N9" s="3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3"/>
      <c r="N12" s="3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12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1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12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3"/>
      <c r="N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4"/>
      <c r="F27" s="21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8"/>
      <c r="C28" s="3"/>
      <c r="D28" s="3"/>
      <c r="E28" s="8"/>
      <c r="F28" s="3"/>
      <c r="G28" s="8"/>
      <c r="H28" s="8"/>
      <c r="I28" s="8"/>
      <c r="J28" s="8"/>
      <c r="K28" s="8"/>
      <c r="L28" s="3"/>
      <c r="M28" s="3"/>
      <c r="N28" s="3"/>
    </row>
    <row r="29" ht="15.75" customHeight="1">
      <c r="A29" s="3"/>
      <c r="B29" s="3"/>
      <c r="C29" s="3"/>
      <c r="D29" s="3"/>
      <c r="E29" s="8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3"/>
      <c r="N30" s="3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"/>
      <c r="N31" s="18"/>
    </row>
    <row r="32" ht="15.75" customHeight="1">
      <c r="A32" s="35" t="s">
        <v>81</v>
      </c>
      <c r="B32" s="35" t="s">
        <v>82</v>
      </c>
      <c r="C32" s="35" t="s">
        <v>83</v>
      </c>
      <c r="D32" s="35" t="s">
        <v>84</v>
      </c>
      <c r="E32" s="35" t="s">
        <v>85</v>
      </c>
      <c r="F32" s="35" t="s">
        <v>86</v>
      </c>
      <c r="G32" s="35" t="s">
        <v>87</v>
      </c>
      <c r="H32" s="35" t="s">
        <v>88</v>
      </c>
      <c r="I32" s="35" t="s">
        <v>89</v>
      </c>
      <c r="J32" s="35" t="s">
        <v>90</v>
      </c>
      <c r="K32" s="35" t="s">
        <v>91</v>
      </c>
      <c r="L32" s="35" t="s">
        <v>92</v>
      </c>
      <c r="M32" s="3"/>
      <c r="N32" s="18"/>
    </row>
    <row r="33" ht="15.75" customHeight="1">
      <c r="A33" s="36" t="s">
        <v>93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3"/>
      <c r="N33" s="3"/>
    </row>
    <row r="34" ht="15.75" customHeight="1">
      <c r="A34" s="37">
        <f t="shared" ref="A34:L34" si="1">sum(A1:A30)</f>
        <v>0</v>
      </c>
      <c r="B34" s="37">
        <f t="shared" si="1"/>
        <v>0</v>
      </c>
      <c r="C34" s="37">
        <f t="shared" si="1"/>
        <v>0</v>
      </c>
      <c r="D34" s="37">
        <f t="shared" si="1"/>
        <v>0</v>
      </c>
      <c r="E34" s="37">
        <f t="shared" si="1"/>
        <v>0</v>
      </c>
      <c r="F34" s="37">
        <f t="shared" si="1"/>
        <v>0</v>
      </c>
      <c r="G34" s="37">
        <f t="shared" si="1"/>
        <v>0</v>
      </c>
      <c r="H34" s="37">
        <f t="shared" si="1"/>
        <v>0</v>
      </c>
      <c r="I34" s="37">
        <f t="shared" si="1"/>
        <v>0</v>
      </c>
      <c r="J34" s="37">
        <f t="shared" si="1"/>
        <v>0</v>
      </c>
      <c r="K34" s="37">
        <f t="shared" si="1"/>
        <v>0</v>
      </c>
      <c r="L34" s="37">
        <f t="shared" si="1"/>
        <v>0</v>
      </c>
      <c r="M34" s="3"/>
      <c r="N34" s="3"/>
    </row>
    <row r="35" ht="15.75" customHeight="1">
      <c r="A35" s="3"/>
      <c r="B35" s="3"/>
      <c r="C35" s="3"/>
      <c r="D35" s="3"/>
      <c r="E35" s="8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8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1:L31">
    <cfRule type="cellIs" dxfId="0" priority="1" operator="greaterThan">
      <formula>0</formula>
    </cfRule>
  </conditionalFormatting>
  <conditionalFormatting sqref="A1:L31">
    <cfRule type="cellIs" dxfId="1" priority="2" operator="lessThan">
      <formula>0</formula>
    </cfRule>
  </conditionalFormatting>
  <conditionalFormatting sqref="A34:L34">
    <cfRule type="cellIs" dxfId="0" priority="3" operator="greaterThan">
      <formula>"$0.00"</formula>
    </cfRule>
  </conditionalFormatting>
  <conditionalFormatting sqref="A34:L34">
    <cfRule type="cellIs" dxfId="1" priority="4" operator="lessThan">
      <formula>"$0.00"</formula>
    </cfRule>
  </conditionalFormatting>
  <conditionalFormatting sqref="A34:L34">
    <cfRule type="cellIs" dxfId="2" priority="5" operator="equal">
      <formula>"$0.00"</formula>
    </cfRule>
  </conditionalFormatting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